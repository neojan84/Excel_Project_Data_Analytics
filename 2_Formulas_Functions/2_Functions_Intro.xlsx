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2_Formulas_Functions\"/>
    </mc:Choice>
  </mc:AlternateContent>
  <xr:revisionPtr revIDLastSave="0" documentId="13_ncr:1_{39FF350A-8D02-4E92-9186-EDA187555719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D17" i="7"/>
  <c r="C17" i="7"/>
  <c r="D16" i="7"/>
  <c r="C16" i="7"/>
  <c r="D15" i="7"/>
  <c r="E15" i="7"/>
  <c r="C15" i="7"/>
  <c r="C14" i="9"/>
  <c r="D14" i="9"/>
  <c r="E14" i="9"/>
  <c r="D13" i="9"/>
  <c r="E13" i="9"/>
  <c r="C13" i="9"/>
  <c r="C15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P7" i="9" s="1"/>
  <c r="Q7" i="9" s="1"/>
  <c r="K7" i="9"/>
  <c r="H7" i="9"/>
  <c r="I7" i="9" s="1"/>
  <c r="J7" i="9" s="1"/>
  <c r="G7" i="9"/>
  <c r="M7" i="9" s="1"/>
  <c r="F7" i="9"/>
  <c r="L6" i="9"/>
  <c r="K6" i="9"/>
  <c r="H6" i="9"/>
  <c r="I6" i="9" s="1"/>
  <c r="G6" i="9"/>
  <c r="G15" i="9" s="1"/>
  <c r="F6" i="9"/>
  <c r="L5" i="9"/>
  <c r="K5" i="9"/>
  <c r="H5" i="9"/>
  <c r="I5" i="9" s="1"/>
  <c r="G5" i="9"/>
  <c r="F5" i="9"/>
  <c r="L4" i="9"/>
  <c r="K4" i="9"/>
  <c r="K15" i="9" s="1"/>
  <c r="H4" i="9"/>
  <c r="I4" i="9" s="1"/>
  <c r="G4" i="9"/>
  <c r="F4" i="9"/>
  <c r="L3" i="9"/>
  <c r="K3" i="9"/>
  <c r="H3" i="9"/>
  <c r="I3" i="9" s="1"/>
  <c r="I15" i="9" s="1"/>
  <c r="G3" i="9"/>
  <c r="F3" i="9"/>
  <c r="F15" i="9" s="1"/>
  <c r="B9" i="8"/>
  <c r="B4" i="8"/>
  <c r="B6" i="8" a="1"/>
  <c r="B6" i="8" s="1"/>
  <c r="B7" i="8"/>
  <c r="B5" i="8"/>
  <c r="B8" i="8"/>
  <c r="B3" i="8"/>
  <c r="D14" i="7"/>
  <c r="E14" i="7"/>
  <c r="C14" i="7"/>
  <c r="D13" i="7"/>
  <c r="E13" i="7"/>
  <c r="C13" i="7"/>
  <c r="L12" i="7"/>
  <c r="K12" i="7"/>
  <c r="H12" i="7"/>
  <c r="I12" i="7" s="1"/>
  <c r="G12" i="7"/>
  <c r="M12" i="7" s="1"/>
  <c r="F12" i="7"/>
  <c r="L11" i="7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F14" i="7" s="1"/>
  <c r="L3" i="7"/>
  <c r="K3" i="7"/>
  <c r="K16" i="7" s="1"/>
  <c r="H3" i="7"/>
  <c r="I3" i="7" s="1"/>
  <c r="G3" i="7"/>
  <c r="M3" i="7" s="1"/>
  <c r="F3" i="7"/>
  <c r="F16" i="7" s="1"/>
  <c r="H15" i="9" l="1"/>
  <c r="I16" i="7"/>
  <c r="H16" i="7"/>
  <c r="P5" i="7"/>
  <c r="P11" i="7"/>
  <c r="G16" i="7"/>
  <c r="P3" i="7"/>
  <c r="P12" i="7"/>
  <c r="P6" i="7"/>
  <c r="P9" i="7"/>
  <c r="L16" i="7"/>
  <c r="P7" i="7"/>
  <c r="M12" i="9"/>
  <c r="P12" i="9" s="1"/>
  <c r="Q12" i="9" s="1"/>
  <c r="J12" i="9"/>
  <c r="J11" i="9"/>
  <c r="M11" i="9"/>
  <c r="P11" i="9" s="1"/>
  <c r="Q11" i="9" s="1"/>
  <c r="M10" i="9"/>
  <c r="P10" i="9" s="1"/>
  <c r="Q10" i="9" s="1"/>
  <c r="J10" i="9"/>
  <c r="J9" i="9"/>
  <c r="M9" i="9"/>
  <c r="P9" i="9" s="1"/>
  <c r="Q9" i="9" s="1"/>
  <c r="J8" i="9"/>
  <c r="M8" i="9"/>
  <c r="N8" i="9" s="1"/>
  <c r="O7" i="9"/>
  <c r="N7" i="9"/>
  <c r="J6" i="9"/>
  <c r="M6" i="9"/>
  <c r="P6" i="9" s="1"/>
  <c r="Q6" i="9" s="1"/>
  <c r="J5" i="9"/>
  <c r="M5" i="9"/>
  <c r="P5" i="9" s="1"/>
  <c r="Q5" i="9" s="1"/>
  <c r="J4" i="9"/>
  <c r="M4" i="9"/>
  <c r="P4" i="9" s="1"/>
  <c r="Q4" i="9" s="1"/>
  <c r="M3" i="9"/>
  <c r="P3" i="9" s="1"/>
  <c r="Q3" i="9" s="1"/>
  <c r="J3" i="9"/>
  <c r="J15" i="9" s="1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M16" i="7" l="1"/>
  <c r="J16" i="7"/>
  <c r="P8" i="9"/>
  <c r="Q8" i="9" s="1"/>
  <c r="O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O16" i="7" l="1"/>
  <c r="N1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<sst xmlns="http://schemas.openxmlformats.org/spreadsheetml/2006/main" count="83" uniqueCount="49">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</sst>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8" xfId="0" applyFont="1" applyBorder="1"/>
    <xf numFmtId="0" fontId="5" fillId="0" borderId="0" xfId="0" applyFont="1"/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/>
    <xf numFmtId="0" fontId="3" fillId="0" borderId="12" xfId="0" applyFont="1" applyBorder="1"/>
    <xf numFmtId="0" fontId="3" fillId="0" borderId="10" xfId="0" applyFont="1" applyBorder="1"/>
    <xf numFmtId="0" fontId="4" fillId="0" borderId="13" xfId="0" applyFont="1" applyBorder="1" applyAlignment="1">
      <alignment horizontal="center" wrapText="1"/>
    </xf>
    <xf numFmtId="0" fontId="3" fillId="0" borderId="13" xfId="0" applyFont="1" applyBorder="1"/>
    <xf numFmtId="164" fontId="3" fillId="0" borderId="13" xfId="1" applyNumberFormat="1" applyFont="1" applyBorder="1" applyAlignment="1"/>
    <xf numFmtId="0" fontId="3" fillId="0" borderId="13" xfId="1" applyNumberFormat="1" applyFont="1" applyBorder="1" applyAlignment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0" borderId="15" xfId="0" applyFont="1" applyBorder="1" applyAlignment="1">
      <alignment horizontal="center" wrapText="1"/>
    </xf>
    <xf numFmtId="0" fontId="3" fillId="0" borderId="16" xfId="0" applyFont="1" applyBorder="1"/>
    <xf numFmtId="0" fontId="4" fillId="0" borderId="17" xfId="0" applyFont="1" applyBorder="1"/>
    <xf numFmtId="0" fontId="3" fillId="0" borderId="18" xfId="0" applyFont="1" applyBorder="1"/>
    <xf numFmtId="0" fontId="4" fillId="0" borderId="9" xfId="0" applyFont="1" applyBorder="1"/>
    <xf numFmtId="0" fontId="3" fillId="0" borderId="11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3" borderId="8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Q22"/>
  <sheetViews>
    <sheetView tabSelected="1" topLeftCell="A4" zoomScale="120" zoomScaleNormal="120" workbookViewId="0">
      <selection activeCell="C22" sqref="C22"/>
    </sheetView>
  </sheetViews>
  <sheetFormatPr defaultColWidth="9" defaultRowHeight="14.5" x14ac:dyDescent="0.35"/>
  <cols>
    <col min="1" max="1" width="5.1796875" style="1" customWidth="1"/>
    <col min="2" max="2" width="22.72656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customWidth="1"/>
    <col min="13" max="13" width="9" style="1" customWidth="1"/>
    <col min="14" max="14" width="10.453125" style="1" hidden="1" customWidth="1"/>
    <col min="15" max="15" width="14.1796875" style="1" hidden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7" ht="15" thickBot="1" x14ac:dyDescent="0.4">
      <c r="G1" s="28"/>
    </row>
    <row r="2" spans="2:17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>$C$21&lt;=C3</f>
        <v>1</v>
      </c>
      <c r="M3" s="22" t="b">
        <f t="shared" ref="M3:M12" si="0">$G3&gt;=$C$22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Q3" s="1" t="str">
        <f>IF(P3,"Goal met","Not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1">C4</f>
        <v>4</v>
      </c>
      <c r="G4" s="22">
        <f t="shared" ref="G4:G12" si="2">D4+E4</f>
        <v>147000</v>
      </c>
      <c r="H4" s="23">
        <f t="shared" ref="H4:H12" si="3">E4/D4</f>
        <v>8.8888888888888892E-2</v>
      </c>
      <c r="I4" s="24">
        <f t="shared" ref="I4:I12" si="4">D4+D4*H4</f>
        <v>147000</v>
      </c>
      <c r="J4" s="22" t="b">
        <f t="shared" ref="J4:J12" si="5">G4=I4</f>
        <v>1</v>
      </c>
      <c r="K4" s="22" t="b">
        <f t="shared" ref="K4:K12" si="6">E4&gt;D4</f>
        <v>0</v>
      </c>
      <c r="L4" s="22" t="b">
        <f>$C$21&lt;=C4</f>
        <v>0</v>
      </c>
      <c r="M4" s="22" t="b">
        <f t="shared" si="0"/>
        <v>1</v>
      </c>
      <c r="N4" s="22">
        <f t="shared" ref="N4:N12" si="7">L4*M4</f>
        <v>0</v>
      </c>
      <c r="O4" s="22" t="b">
        <f t="shared" ref="O4:O12" si="8">L4*M4=1</f>
        <v>0</v>
      </c>
      <c r="P4" s="22" t="b">
        <f t="shared" ref="P4:P12" si="9">AND(L4,M4)</f>
        <v>0</v>
      </c>
      <c r="Q4" s="1" t="str">
        <f t="shared" ref="Q4:Q12" si="10">IF(P4,"Goal met","Not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1"/>
        <v>2</v>
      </c>
      <c r="G5" s="22">
        <f t="shared" si="2"/>
        <v>80000</v>
      </c>
      <c r="H5" s="23">
        <f t="shared" si="3"/>
        <v>6.6666666666666666E-2</v>
      </c>
      <c r="I5" s="24">
        <f t="shared" si="4"/>
        <v>80000</v>
      </c>
      <c r="J5" s="22" t="b">
        <f t="shared" si="5"/>
        <v>1</v>
      </c>
      <c r="K5" s="22" t="b">
        <f t="shared" si="6"/>
        <v>0</v>
      </c>
      <c r="L5" s="22" t="b">
        <f>$C$21&lt;=C5</f>
        <v>0</v>
      </c>
      <c r="M5" s="22" t="b">
        <f t="shared" si="0"/>
        <v>0</v>
      </c>
      <c r="N5" s="22">
        <f t="shared" si="7"/>
        <v>0</v>
      </c>
      <c r="O5" s="22" t="b">
        <f t="shared" si="8"/>
        <v>0</v>
      </c>
      <c r="P5" s="22" t="b">
        <f t="shared" si="9"/>
        <v>0</v>
      </c>
      <c r="Q5" s="1" t="str">
        <f t="shared" si="10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1"/>
        <v>6</v>
      </c>
      <c r="G6" s="22">
        <f t="shared" si="2"/>
        <v>118000</v>
      </c>
      <c r="H6" s="23">
        <f t="shared" si="3"/>
        <v>7.2727272727272724E-2</v>
      </c>
      <c r="I6" s="24">
        <f t="shared" si="4"/>
        <v>118000</v>
      </c>
      <c r="J6" s="22" t="b">
        <f t="shared" si="5"/>
        <v>1</v>
      </c>
      <c r="K6" s="22" t="b">
        <f t="shared" si="6"/>
        <v>0</v>
      </c>
      <c r="L6" s="22" t="b">
        <f>$C$21&lt;=C6</f>
        <v>1</v>
      </c>
      <c r="M6" s="22" t="b">
        <f t="shared" si="0"/>
        <v>1</v>
      </c>
      <c r="N6" s="22">
        <f t="shared" si="7"/>
        <v>1</v>
      </c>
      <c r="O6" s="22" t="b">
        <f t="shared" si="8"/>
        <v>1</v>
      </c>
      <c r="P6" s="22" t="b">
        <f t="shared" si="9"/>
        <v>1</v>
      </c>
      <c r="Q6" s="1" t="str">
        <f t="shared" si="10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1"/>
        <v>3</v>
      </c>
      <c r="G7" s="22">
        <f t="shared" si="2"/>
        <v>136000</v>
      </c>
      <c r="H7" s="23">
        <f t="shared" si="3"/>
        <v>8.7999999999999995E-2</v>
      </c>
      <c r="I7" s="24">
        <f t="shared" si="4"/>
        <v>136000</v>
      </c>
      <c r="J7" s="22" t="b">
        <f t="shared" si="5"/>
        <v>1</v>
      </c>
      <c r="K7" s="22" t="b">
        <f t="shared" si="6"/>
        <v>0</v>
      </c>
      <c r="L7" s="22" t="b">
        <f>$C$21&lt;=C7</f>
        <v>0</v>
      </c>
      <c r="M7" s="22" t="b">
        <f t="shared" si="0"/>
        <v>1</v>
      </c>
      <c r="N7" s="22">
        <f t="shared" si="7"/>
        <v>0</v>
      </c>
      <c r="O7" s="22" t="b">
        <f t="shared" si="8"/>
        <v>0</v>
      </c>
      <c r="P7" s="22" t="b">
        <f t="shared" si="9"/>
        <v>0</v>
      </c>
      <c r="Q7" s="1" t="str">
        <f t="shared" si="10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1"/>
        <v>7</v>
      </c>
      <c r="G8" s="22">
        <f t="shared" si="2"/>
        <v>97000</v>
      </c>
      <c r="H8" s="23">
        <f t="shared" si="3"/>
        <v>7.7777777777777779E-2</v>
      </c>
      <c r="I8" s="24">
        <f t="shared" si="4"/>
        <v>97000</v>
      </c>
      <c r="J8" s="22" t="b">
        <f t="shared" si="5"/>
        <v>1</v>
      </c>
      <c r="K8" s="22" t="b">
        <f t="shared" si="6"/>
        <v>0</v>
      </c>
      <c r="L8" s="22" t="b">
        <f>$C$21&lt;=C8</f>
        <v>1</v>
      </c>
      <c r="M8" s="22" t="b">
        <f t="shared" si="0"/>
        <v>1</v>
      </c>
      <c r="N8" s="22">
        <f t="shared" si="7"/>
        <v>1</v>
      </c>
      <c r="O8" s="22" t="b">
        <f t="shared" si="8"/>
        <v>1</v>
      </c>
      <c r="P8" s="22" t="b">
        <f t="shared" si="9"/>
        <v>1</v>
      </c>
      <c r="Q8" s="1" t="str">
        <f t="shared" si="10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1"/>
        <v>10</v>
      </c>
      <c r="G9" s="22">
        <f t="shared" si="2"/>
        <v>165000</v>
      </c>
      <c r="H9" s="23">
        <f t="shared" si="3"/>
        <v>0.1</v>
      </c>
      <c r="I9" s="24">
        <f t="shared" si="4"/>
        <v>165000</v>
      </c>
      <c r="J9" s="22" t="b">
        <f t="shared" si="5"/>
        <v>1</v>
      </c>
      <c r="K9" s="22" t="b">
        <f t="shared" si="6"/>
        <v>0</v>
      </c>
      <c r="L9" s="22" t="b">
        <f>$C$21&lt;=C9</f>
        <v>1</v>
      </c>
      <c r="M9" s="22" t="b">
        <f t="shared" si="0"/>
        <v>1</v>
      </c>
      <c r="N9" s="22">
        <f t="shared" si="7"/>
        <v>1</v>
      </c>
      <c r="O9" s="22" t="b">
        <f t="shared" si="8"/>
        <v>1</v>
      </c>
      <c r="P9" s="22" t="b">
        <f t="shared" si="9"/>
        <v>1</v>
      </c>
      <c r="Q9" s="1" t="str">
        <f t="shared" si="10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1"/>
        <v>8</v>
      </c>
      <c r="G10" s="22">
        <f t="shared" si="2"/>
        <v>143000</v>
      </c>
      <c r="H10" s="23">
        <f t="shared" si="3"/>
        <v>0.1</v>
      </c>
      <c r="I10" s="24">
        <f t="shared" si="4"/>
        <v>143000</v>
      </c>
      <c r="J10" s="22" t="b">
        <f t="shared" si="5"/>
        <v>1</v>
      </c>
      <c r="K10" s="22" t="b">
        <f t="shared" si="6"/>
        <v>0</v>
      </c>
      <c r="L10" s="22" t="b">
        <f>$C$21&lt;=C10</f>
        <v>1</v>
      </c>
      <c r="M10" s="22" t="b">
        <f t="shared" si="0"/>
        <v>1</v>
      </c>
      <c r="N10" s="22">
        <f t="shared" si="7"/>
        <v>1</v>
      </c>
      <c r="O10" s="22" t="b">
        <f t="shared" si="8"/>
        <v>1</v>
      </c>
      <c r="P10" s="22" t="b">
        <f t="shared" si="9"/>
        <v>1</v>
      </c>
      <c r="Q10" s="1" t="str">
        <f t="shared" si="10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1"/>
        <v>3</v>
      </c>
      <c r="G11" s="22">
        <f t="shared" si="2"/>
        <v>154000</v>
      </c>
      <c r="H11" s="23">
        <f t="shared" si="3"/>
        <v>0.1</v>
      </c>
      <c r="I11" s="24">
        <f t="shared" si="4"/>
        <v>154000</v>
      </c>
      <c r="J11" s="22" t="b">
        <f t="shared" si="5"/>
        <v>1</v>
      </c>
      <c r="K11" s="22" t="b">
        <f t="shared" si="6"/>
        <v>0</v>
      </c>
      <c r="L11" s="22" t="b">
        <f>$C$21&lt;=C11</f>
        <v>0</v>
      </c>
      <c r="M11" s="22" t="b">
        <f t="shared" si="0"/>
        <v>1</v>
      </c>
      <c r="N11" s="22">
        <f t="shared" si="7"/>
        <v>0</v>
      </c>
      <c r="O11" s="22" t="b">
        <f t="shared" si="8"/>
        <v>0</v>
      </c>
      <c r="P11" s="22" t="b">
        <f t="shared" si="9"/>
        <v>0</v>
      </c>
      <c r="Q11" s="1" t="str">
        <f t="shared" si="10"/>
        <v>Not met</v>
      </c>
    </row>
    <row r="12" spans="2:17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1"/>
        <v>5</v>
      </c>
      <c r="G12" s="22">
        <f t="shared" si="2"/>
        <v>124000</v>
      </c>
      <c r="H12" s="23">
        <f t="shared" si="3"/>
        <v>7.8260869565217397E-2</v>
      </c>
      <c r="I12" s="24">
        <f t="shared" si="4"/>
        <v>124000</v>
      </c>
      <c r="J12" s="22" t="b">
        <f t="shared" si="5"/>
        <v>1</v>
      </c>
      <c r="K12" s="22" t="b">
        <f t="shared" si="6"/>
        <v>0</v>
      </c>
      <c r="L12" s="22" t="b">
        <f>$C$21&lt;=C12</f>
        <v>1</v>
      </c>
      <c r="M12" s="22" t="b">
        <f t="shared" si="0"/>
        <v>1</v>
      </c>
      <c r="N12" s="22">
        <f t="shared" si="7"/>
        <v>1</v>
      </c>
      <c r="O12" s="22" t="b">
        <f t="shared" si="8"/>
        <v>1</v>
      </c>
      <c r="P12" s="22" t="b">
        <f t="shared" si="9"/>
        <v>1</v>
      </c>
      <c r="Q12" s="1" t="str">
        <f t="shared" si="10"/>
        <v>Goal met</v>
      </c>
    </row>
    <row r="13" spans="2:17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7" ht="15" thickBot="1" x14ac:dyDescent="0.4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7" ht="15" thickTop="1" x14ac:dyDescent="0.35">
      <c r="B15" s="29" t="s">
        <v>30</v>
      </c>
      <c r="C15" s="19">
        <f>SUM(C3:C12)</f>
        <v>53</v>
      </c>
      <c r="D15" s="19">
        <f t="shared" ref="D15:K15" si="13">SUM(D3:D12)</f>
        <v>1190000</v>
      </c>
      <c r="E15" s="19">
        <f t="shared" si="13"/>
        <v>104000</v>
      </c>
      <c r="F15" s="19">
        <f t="shared" si="13"/>
        <v>53</v>
      </c>
      <c r="G15" s="19">
        <f t="shared" si="13"/>
        <v>1294000</v>
      </c>
      <c r="H15" s="19">
        <f t="shared" si="13"/>
        <v>0.85565480895915669</v>
      </c>
      <c r="I15" s="19">
        <f t="shared" si="13"/>
        <v>1294000</v>
      </c>
      <c r="J15" s="19">
        <f t="shared" si="13"/>
        <v>0</v>
      </c>
      <c r="K15" s="19">
        <f t="shared" si="13"/>
        <v>0</v>
      </c>
    </row>
    <row r="16" spans="2:17" x14ac:dyDescent="0.3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4">
      <c r="B17" s="12" t="s">
        <v>31</v>
      </c>
      <c r="C17" s="18">
        <f>COUNTIF($C$3:$C$12,"&lt;="&amp;$C$21)</f>
        <v>6</v>
      </c>
      <c r="D17" s="18">
        <f>COUNTIF($D$3:$D$12,"&gt;="&amp;$C$22)</f>
        <v>9</v>
      </c>
      <c r="E17" s="35"/>
    </row>
    <row r="20" spans="2:5" ht="15" thickBot="1" x14ac:dyDescent="0.4">
      <c r="B20" s="14" t="s">
        <v>24</v>
      </c>
    </row>
    <row r="21" spans="2:5" x14ac:dyDescent="0.35">
      <c r="B21" s="10" t="s">
        <v>22</v>
      </c>
      <c r="C21" s="11">
        <v>5</v>
      </c>
    </row>
    <row r="22" spans="2:5" ht="15" thickBot="1" x14ac:dyDescent="0.4">
      <c r="B22" s="12" t="s">
        <v>23</v>
      </c>
      <c r="C22" s="13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Q15" sqref="Q15"/>
    </sheetView>
  </sheetViews>
  <sheetFormatPr defaultColWidth="9" defaultRowHeight="14.5" x14ac:dyDescent="0.35"/>
  <cols>
    <col min="1" max="1" width="5.1796875" style="1" customWidth="1"/>
    <col min="2" max="2" width="22.72656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hidden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/>
      <c r="F16" s="18">
        <f t="shared" ref="F16:O16" si="14">COUNTIF(F3:F12,"&lt;=5")</f>
        <v>6</v>
      </c>
      <c r="G16" s="18">
        <f t="shared" si="14"/>
        <v>0</v>
      </c>
      <c r="H16" s="18">
        <f t="shared" si="14"/>
        <v>10</v>
      </c>
      <c r="I16" s="18">
        <f t="shared" si="14"/>
        <v>0</v>
      </c>
      <c r="J16" s="18">
        <f t="shared" si="14"/>
        <v>0</v>
      </c>
      <c r="K16" s="18">
        <f t="shared" si="14"/>
        <v>0</v>
      </c>
      <c r="L16" s="18">
        <f t="shared" si="14"/>
        <v>0</v>
      </c>
      <c r="M16" s="18">
        <f t="shared" si="14"/>
        <v>0</v>
      </c>
      <c r="N16" s="18">
        <f t="shared" si="14"/>
        <v>10</v>
      </c>
      <c r="O16" s="18">
        <f t="shared" si="14"/>
        <v>0</v>
      </c>
    </row>
    <row r="17" spans="2:5" ht="15" thickBot="1" x14ac:dyDescent="0.4">
      <c r="B17" s="12" t="s">
        <v>31</v>
      </c>
      <c r="C17" s="18">
        <f>COUNTIF($C$3:$C$12,"&lt;="&amp;$S$3)</f>
        <v>6</v>
      </c>
      <c r="D17" s="18">
        <f>COUNTIF($D$3:$D$12,"&gt;="&amp;$S$4)</f>
        <v>9</v>
      </c>
      <c r="E17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D6" sqref="D6"/>
    </sheetView>
  </sheetViews>
  <sheetFormatPr defaultRowHeight="14.5" x14ac:dyDescent="0.35"/>
  <cols>
    <col min="1" max="1" width="2.1796875" customWidth="1"/>
    <col min="2" max="2" width="13.453125" customWidth="1"/>
    <col min="3" max="3" width="35.1796875" customWidth="1"/>
    <col min="4" max="4" width="60.453125" bestFit="1" customWidth="1"/>
  </cols>
  <sheetData>
    <row r="2" spans="2:4" x14ac:dyDescent="0.35">
      <c r="B2" s="36" t="s">
        <v>32</v>
      </c>
      <c r="C2" s="36" t="s">
        <v>40</v>
      </c>
      <c r="D2" s="36" t="s">
        <v>33</v>
      </c>
    </row>
    <row r="3" spans="2:4" x14ac:dyDescent="0.35">
      <c r="B3" s="37" t="e">
        <f>1/0</f>
        <v>#DIV/0!</v>
      </c>
      <c r="C3" s="38" t="s">
        <v>41</v>
      </c>
      <c r="D3" s="37" t="s">
        <v>34</v>
      </c>
    </row>
    <row r="4" spans="2:4" x14ac:dyDescent="0.35">
      <c r="B4" s="37" t="e">
        <f>A4 + "text"</f>
        <v>#VALUE!</v>
      </c>
      <c r="C4" s="38" t="s">
        <v>42</v>
      </c>
      <c r="D4" s="37" t="s">
        <v>35</v>
      </c>
    </row>
    <row r="5" spans="2:4" x14ac:dyDescent="0.35">
      <c r="B5" s="9" t="e">
        <f>#REF!</f>
        <v>#REF!</v>
      </c>
      <c r="C5" s="38" t="s">
        <v>43</v>
      </c>
      <c r="D5" s="37" t="s">
        <v>48</v>
      </c>
    </row>
    <row r="6" spans="2:4" x14ac:dyDescent="0.35">
      <c r="B6" s="9" t="e" cm="1">
        <f t="array" aca="1" ref="B6" ca="1">COUNTT(A3:A9)</f>
        <v>#NAME?</v>
      </c>
      <c r="C6" s="38" t="s">
        <v>47</v>
      </c>
      <c r="D6" s="37" t="s">
        <v>36</v>
      </c>
    </row>
    <row r="7" spans="2:4" x14ac:dyDescent="0.35">
      <c r="B7" s="37" t="e">
        <f>VLOOKUP("Value", A1:A10, 2, FALSE)</f>
        <v>#N/A</v>
      </c>
      <c r="C7" s="38" t="s">
        <v>46</v>
      </c>
      <c r="D7" s="37" t="s">
        <v>37</v>
      </c>
    </row>
    <row r="8" spans="2:4" x14ac:dyDescent="0.35">
      <c r="B8" s="37" t="e">
        <f>SQRT(-1)</f>
        <v>#NUM!</v>
      </c>
      <c r="C8" s="38" t="s">
        <v>44</v>
      </c>
      <c r="D8" s="37" t="s">
        <v>38</v>
      </c>
    </row>
    <row r="9" spans="2:4" x14ac:dyDescent="0.35">
      <c r="B9" s="37" t="e">
        <f>SUM(A1:A10 C1:C10)</f>
        <v>#NULL!</v>
      </c>
      <c r="C9" s="38" t="s">
        <v>45</v>
      </c>
      <c r="D9" s="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2024-07-16T20:11:02Z</dcterms:created>
  <dcterms:modified xsi:type="dcterms:W3CDTF">2025-11-15T18:16:40Z</dcterms:modified>
</cp:coreProperties>
</file>