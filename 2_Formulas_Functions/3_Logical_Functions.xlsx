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2_Formulas_Functions\"/>
    </mc:Choice>
  </mc:AlternateContent>
  <xr:revisionPtr revIDLastSave="0" documentId="13_ncr:1_{84EBD76F-E050-4B91-8C8F-7F99EBF14213}" xr6:coauthVersionLast="47" xr6:coauthVersionMax="47" xr10:uidLastSave="{00000000-0000-0000-0000-000000000000}"/>
  <bookViews>
    <workbookView xWindow="-110" yWindow="-110" windowWidth="19420" windowHeight="10300" activeTab="3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1" l="1"/>
  <c r="R3" i="11" l="1" a="1"/>
  <c r="R3" i="11" s="1"/>
  <c r="R4" i="11" a="1"/>
  <c r="R4" i="11"/>
  <c r="R5" i="11" a="1"/>
  <c r="R5" i="11" s="1"/>
  <c r="R6" i="11" a="1"/>
  <c r="R6" i="11"/>
  <c r="R7" i="11" a="1"/>
  <c r="R7" i="11" s="1"/>
  <c r="R8" i="11" a="1"/>
  <c r="R8" i="11"/>
  <c r="R9" i="11" a="1"/>
  <c r="R9" i="11" s="1"/>
  <c r="R10" i="11" a="1"/>
  <c r="R10" i="11"/>
  <c r="R11" i="11" a="1"/>
  <c r="R11" i="11" s="1"/>
  <c r="R12" i="11" a="1"/>
  <c r="R12" i="11"/>
  <c r="R13" i="11" a="1"/>
  <c r="R13" i="11" s="1"/>
  <c r="R14" i="11" a="1"/>
  <c r="R14" i="11"/>
  <c r="R15" i="11" a="1"/>
  <c r="R15" i="11" s="1"/>
  <c r="R16" i="11" a="1"/>
  <c r="R16" i="11"/>
  <c r="R17" i="11" a="1"/>
  <c r="R17" i="11" s="1"/>
  <c r="R18" i="11" a="1"/>
  <c r="R18" i="11"/>
  <c r="R19" i="11" a="1"/>
  <c r="R19" i="11" s="1"/>
  <c r="R20" i="11" a="1"/>
  <c r="R20" i="11"/>
  <c r="R21" i="11" a="1"/>
  <c r="R21" i="11" s="1"/>
  <c r="R2" i="11" a="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2" i="11"/>
  <c r="Q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E4" i="12"/>
  <c r="E5" i="12"/>
  <c r="E6" i="12"/>
  <c r="E3" i="12"/>
  <c r="D4" i="12"/>
  <c r="D5" i="12"/>
  <c r="D6" i="12"/>
  <c r="D3" i="12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K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M2" i="11"/>
  <c r="XFD1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F9" i="8" s="1"/>
  <c r="B4" i="8"/>
  <c r="F4" i="8" s="1"/>
  <c r="B6" i="8" a="1"/>
  <c r="B6" i="8" s="1"/>
  <c r="E6" i="8" s="1"/>
  <c r="B7" i="8"/>
  <c r="E7" i="8" s="1"/>
  <c r="B5" i="8"/>
  <c r="F5" i="8" s="1"/>
  <c r="B8" i="8"/>
  <c r="E8" i="8" s="1"/>
  <c r="B3" i="8"/>
  <c r="F3" i="8" s="1"/>
  <c r="L12" i="7"/>
  <c r="K12" i="7"/>
  <c r="H12" i="7"/>
  <c r="I12" i="7" s="1"/>
  <c r="G12" i="7"/>
  <c r="M12" i="7" s="1"/>
  <c r="F12" i="7"/>
  <c r="L11" i="7"/>
  <c r="K11" i="7"/>
  <c r="H11" i="7"/>
  <c r="I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G5" i="7"/>
  <c r="M5" i="7" s="1"/>
  <c r="F5" i="7"/>
  <c r="L4" i="7"/>
  <c r="K4" i="7"/>
  <c r="H4" i="7"/>
  <c r="I4" i="7" s="1"/>
  <c r="G4" i="7"/>
  <c r="F4" i="7"/>
  <c r="L3" i="7"/>
  <c r="P3" i="7" s="1"/>
  <c r="Q3" i="7" s="1"/>
  <c r="K3" i="7"/>
  <c r="H3" i="7"/>
  <c r="I3" i="7" s="1"/>
  <c r="G3" i="7"/>
  <c r="M3" i="7" s="1"/>
  <c r="F3" i="7"/>
  <c r="E3" i="8" l="1"/>
  <c r="E5" i="8"/>
  <c r="F8" i="8"/>
  <c r="E9" i="8"/>
  <c r="E4" i="8"/>
  <c r="F7" i="8"/>
  <c r="J5" i="7"/>
  <c r="J11" i="7"/>
  <c r="F6" i="8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<sst xmlns="http://schemas.openxmlformats.org/spreadsheetml/2006/main" count="394" uniqueCount="144">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</sst>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3" sqref="Q3"/>
    </sheetView>
  </sheetViews>
  <sheetFormatPr defaultColWidth="9.1796875" defaultRowHeight="14.5" x14ac:dyDescent="0.35"/>
  <cols>
    <col min="1" max="1" width="5.1796875" style="1" customWidth="1"/>
    <col min="2" max="2" width="22.7265625" style="1" bestFit="1" customWidth="1"/>
    <col min="3" max="3" width="18.26953125" style="1" bestFit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customWidth="1"/>
    <col min="13" max="13" width="9.1796875" style="1" customWidth="1"/>
    <col min="14" max="14" width="10.453125" style="1" hidden="1" customWidth="1"/>
    <col min="15" max="15" width="14.1796875" style="1" hidden="1" customWidth="1"/>
    <col min="16" max="16" width="9.7265625" style="1" customWidth="1"/>
    <col min="17" max="17" width="9.1796875" style="1"/>
    <col min="18" max="18" width="14.1796875" style="1" bestFit="1" customWidth="1"/>
    <col min="19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/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 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R7" sqref="R7"/>
    </sheetView>
  </sheetViews>
  <sheetFormatPr defaultColWidth="9.1796875" defaultRowHeight="14.5" x14ac:dyDescent="0.35"/>
  <cols>
    <col min="1" max="1" width="5.1796875" style="1" customWidth="1"/>
    <col min="2" max="2" width="22.72656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hidden="1" customWidth="1"/>
    <col min="13" max="13" width="9.1796875" style="1" hidden="1" customWidth="1"/>
    <col min="14" max="14" width="10.453125" style="1" hidden="1" customWidth="1"/>
    <col min="15" max="15" width="14.1796875" style="1" hidden="1" customWidth="1"/>
    <col min="16" max="16" width="9.7265625" style="1" hidden="1" customWidth="1"/>
    <col min="17" max="17" width="9.7265625" style="1" customWidth="1"/>
    <col min="18" max="18" width="9.1796875" style="1"/>
    <col min="19" max="19" width="14.1796875" style="1" bestFit="1" customWidth="1"/>
    <col min="20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workbookViewId="0">
      <selection activeCell="Q2" sqref="Q2"/>
    </sheetView>
  </sheetViews>
  <sheetFormatPr defaultRowHeight="14.5" x14ac:dyDescent="0.35"/>
  <cols>
    <col min="1" max="1" width="16.81640625" bestFit="1" customWidth="1"/>
    <col min="2" max="2" width="19.1796875" hidden="1" customWidth="1"/>
    <col min="3" max="3" width="21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customWidth="1"/>
    <col min="9" max="9" width="19" hidden="1" customWidth="1"/>
    <col min="10" max="10" width="79.54296875" hidden="1" customWidth="1"/>
    <col min="11" max="11" width="12" hidden="1" customWidth="1"/>
    <col min="12" max="12" width="15.81640625" hidden="1" customWidth="1"/>
    <col min="13" max="13" width="12" hidden="1" customWidth="1"/>
    <col min="14" max="14" width="7.453125" hidden="1" customWidth="1"/>
    <col min="15" max="15" width="8.1796875" hidden="1" customWidth="1"/>
    <col min="16" max="16" width="12" customWidth="1"/>
    <col min="17" max="18" width="10.54296875" bestFit="1" customWidth="1"/>
  </cols>
  <sheetData>
    <row r="1" spans="1:18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5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 "Role desired", "Not desired")</f>
        <v>Not desired</v>
      </c>
      <c r="L2" t="str">
        <f>IF($A2=L$1, "Role desired", "Not desired")</f>
        <v>Not desired</v>
      </c>
      <c r="M2" t="str">
        <f>IF($A2=K$1, "Role desired", IF($A2=L$1, "Role desired", 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 "Role Desired", "Not Desired")</f>
        <v>Not Desired</v>
      </c>
      <c r="Q2" t="str">
        <f>IF($Q$1&lt;=$H2, "Enough", "Not enough")</f>
        <v>Enough</v>
      </c>
    </row>
    <row r="3" spans="1:18" x14ac:dyDescent="0.35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IF($A3=K$1, "Role desired", "Not desired")</f>
        <v>Role desired</v>
      </c>
      <c r="L3" t="str">
        <f t="shared" ref="L3:L21" si="1">IF(A3=L$1, "Role Desired", "Not desired")</f>
        <v>Not desired</v>
      </c>
      <c r="M3" t="str">
        <f t="shared" ref="M3:M21" si="2">IF($A3=K$1, "Role desired", IF($A3=L$1, "Role desired", "Not desired"))</f>
        <v>Role desired</v>
      </c>
      <c r="N3" t="b">
        <f t="shared" ref="N3:N21" si="3">AND($A3=$K$1,$A3=$L$1)</f>
        <v>0</v>
      </c>
      <c r="O3" t="b">
        <f t="shared" ref="O3:O21" si="4">OR($A3=$K$1,$A3=$L$1)</f>
        <v>1</v>
      </c>
      <c r="P3" t="str">
        <f t="shared" ref="P3:P21" si="5">IF(OR($A3=$K$1,$A3=$L$1), "Role Desired", "Not Desired")</f>
        <v>Role Desired</v>
      </c>
      <c r="Q3" t="str">
        <f t="shared" ref="Q3:Q21" si="6">IF($Q$1&lt;=$H3, "Enough", "Not enough")</f>
        <v>Not enough</v>
      </c>
    </row>
    <row r="4" spans="1:18" x14ac:dyDescent="0.35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Not enough</v>
      </c>
    </row>
    <row r="5" spans="1:18" x14ac:dyDescent="0.35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Not enough</v>
      </c>
    </row>
    <row r="6" spans="1:18" x14ac:dyDescent="0.35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Not enough</v>
      </c>
    </row>
    <row r="7" spans="1:18" x14ac:dyDescent="0.35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Not enough</v>
      </c>
    </row>
    <row r="8" spans="1:18" x14ac:dyDescent="0.35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Not enough</v>
      </c>
    </row>
    <row r="9" spans="1:18" x14ac:dyDescent="0.35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Enough</v>
      </c>
    </row>
    <row r="10" spans="1:18" x14ac:dyDescent="0.35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Not enough</v>
      </c>
    </row>
    <row r="11" spans="1:18" x14ac:dyDescent="0.35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Enough</v>
      </c>
    </row>
    <row r="12" spans="1:18" x14ac:dyDescent="0.35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Enough</v>
      </c>
    </row>
    <row r="13" spans="1:18" x14ac:dyDescent="0.35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Enough</v>
      </c>
    </row>
    <row r="14" spans="1:18" x14ac:dyDescent="0.35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Enough</v>
      </c>
    </row>
    <row r="15" spans="1:18" x14ac:dyDescent="0.35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Not enough</v>
      </c>
    </row>
    <row r="16" spans="1:18" x14ac:dyDescent="0.35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Enough</v>
      </c>
    </row>
    <row r="17" spans="1:17" x14ac:dyDescent="0.35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Enough</v>
      </c>
    </row>
    <row r="18" spans="1:17" x14ac:dyDescent="0.35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Not enough</v>
      </c>
    </row>
    <row r="19" spans="1:17" x14ac:dyDescent="0.35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Enough</v>
      </c>
    </row>
    <row r="20" spans="1:17" x14ac:dyDescent="0.35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Not enough</v>
      </c>
    </row>
    <row r="21" spans="1:17" x14ac:dyDescent="0.35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Enough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tabSelected="1" workbookViewId="0">
      <selection activeCell="R2" sqref="R2"/>
    </sheetView>
  </sheetViews>
  <sheetFormatPr defaultRowHeight="14.5" x14ac:dyDescent="0.35"/>
  <cols>
    <col min="1" max="1" width="16.81640625" bestFit="1" customWidth="1"/>
    <col min="2" max="2" width="17.453125" hidden="1" customWidth="1"/>
    <col min="3" max="3" width="21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bestFit="1" customWidth="1"/>
    <col min="9" max="9" width="19" hidden="1" customWidth="1"/>
    <col min="10" max="10" width="68.1796875" hidden="1" customWidth="1"/>
    <col min="11" max="11" width="15.81640625" bestFit="1" customWidth="1"/>
    <col min="12" max="12" width="19.1796875" bestFit="1" customWidth="1"/>
    <col min="13" max="13" width="14.26953125" bestFit="1" customWidth="1"/>
    <col min="14" max="14" width="11.26953125" bestFit="1" customWidth="1"/>
    <col min="15" max="15" width="10.1796875" bestFit="1" customWidth="1"/>
    <col min="16" max="16" width="14.26953125" bestFit="1" customWidth="1"/>
    <col min="17" max="17" width="13.08984375" bestFit="1" customWidth="1"/>
    <col min="18" max="18" width="12.453125" bestFit="1" customWidth="1"/>
  </cols>
  <sheetData>
    <row r="1" spans="1:18 16384:16384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5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5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AND($A2=$K$1,$A2=$L$1)</f>
        <v>0</v>
      </c>
      <c r="O2" t="b">
        <f>OR($A2=$K$1, $A2=$L$1)</f>
        <v>0</v>
      </c>
      <c r="P2" t="str">
        <f>IF(OR($A2=$K$1, $A2=$L$1),"Role Desired","Not Desired")</f>
        <v>Not Desired</v>
      </c>
      <c r="Q2" t="str">
        <f>IF($H2&gt;=$Q$1, "Salary&gt;85K", "Low salary")</f>
        <v>Salary&gt;85K</v>
      </c>
      <c r="R2" t="str" cm="1">
        <f t="array" ref="R2">_xlfn.IFS($H2="","No Data", $H2&gt;=$Q$1,"Salary &gt;85K", TRUE, "Low Salary")</f>
        <v>Salary &gt;85K</v>
      </c>
    </row>
    <row r="3" spans="1:18 16384:16384" x14ac:dyDescent="0.35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IF($H3&gt;=$Q$1, "Salary&gt;85K", "Low salary")</f>
        <v>Low salary</v>
      </c>
      <c r="R3" t="str" cm="1">
        <f t="array" ref="R3">_xlfn.IFS($H3="","No Data", $H3&gt;=$Q$1,"Salary &gt;85K", TRUE, "Low Salary")</f>
        <v>Low Salary</v>
      </c>
    </row>
    <row r="4" spans="1:18 16384:16384" x14ac:dyDescent="0.35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Low salary</v>
      </c>
      <c r="R4" t="str" cm="1">
        <f t="array" ref="R4">_xlfn.IFS($H4="","No Data", $H4&gt;=$Q$1,"Salary &gt;85K", TRUE, "Low Salary")</f>
        <v>No Data</v>
      </c>
    </row>
    <row r="5" spans="1:18 16384:16384" x14ac:dyDescent="0.35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Low salary</v>
      </c>
      <c r="R5" t="str" cm="1">
        <f t="array" ref="R5">_xlfn.IFS($H5="","No Data", $H5&gt;=$Q$1,"Salary &gt;85K", TRUE, "Low Salary")</f>
        <v>No Data</v>
      </c>
    </row>
    <row r="6" spans="1:18 16384:16384" x14ac:dyDescent="0.35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Low salary</v>
      </c>
      <c r="R6" t="str" cm="1">
        <f t="array" ref="R6">_xlfn.IFS($H6="","No Data", $H6&gt;=$Q$1,"Salary &gt;85K", TRUE, "Low Salary")</f>
        <v>No Data</v>
      </c>
    </row>
    <row r="7" spans="1:18 16384:16384" x14ac:dyDescent="0.35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Low salary</v>
      </c>
      <c r="R7" t="str" cm="1">
        <f t="array" ref="R7">_xlfn.IFS($H7="","No Data", $H7&gt;=$Q$1,"Salary &gt;85K", TRUE, "Low Salary")</f>
        <v>No Data</v>
      </c>
    </row>
    <row r="8" spans="1:18 16384:16384" x14ac:dyDescent="0.35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Low salary</v>
      </c>
      <c r="R8" t="str" cm="1">
        <f t="array" ref="R8">_xlfn.IFS($H8="","No Data", $H8&gt;=$Q$1,"Salary &gt;85K", TRUE, "Low Salary")</f>
        <v>No Data</v>
      </c>
    </row>
    <row r="9" spans="1:18 16384:16384" x14ac:dyDescent="0.35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Salary&gt;85K</v>
      </c>
      <c r="R9" t="str" cm="1">
        <f t="array" ref="R9">_xlfn.IFS($H9="","No Data", $H9&gt;=$Q$1,"Salary &gt;85K", TRUE, "Low Salary")</f>
        <v>Salary &gt;85K</v>
      </c>
    </row>
    <row r="10" spans="1:18 16384:16384" x14ac:dyDescent="0.35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Low salary</v>
      </c>
      <c r="R10" t="str" cm="1">
        <f t="array" ref="R10">_xlfn.IFS($H10="","No Data", $H10&gt;=$Q$1,"Salary &gt;85K", TRUE, "Low Salary")</f>
        <v>No Data</v>
      </c>
    </row>
    <row r="11" spans="1:18 16384:16384" x14ac:dyDescent="0.35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Salary&gt;85K</v>
      </c>
      <c r="R11" t="str" cm="1">
        <f t="array" ref="R11">_xlfn.IFS($H11="","No Data", $H11&gt;=$Q$1,"Salary &gt;85K", TRUE, "Low Salary")</f>
        <v>Salary &gt;85K</v>
      </c>
    </row>
    <row r="12" spans="1:18 16384:16384" x14ac:dyDescent="0.35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Salary&gt;85K</v>
      </c>
      <c r="R12" t="str" cm="1">
        <f t="array" ref="R12">_xlfn.IFS($H12="","No Data", $H12&gt;=$Q$1,"Salary &gt;85K", TRUE, "Low Salary")</f>
        <v>Salary &gt;85K</v>
      </c>
    </row>
    <row r="13" spans="1:18 16384:16384" x14ac:dyDescent="0.35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Salary&gt;85K</v>
      </c>
      <c r="R13" t="str" cm="1">
        <f t="array" ref="R13">_xlfn.IFS($H13="","No Data", $H13&gt;=$Q$1,"Salary &gt;85K", TRUE, "Low Salary")</f>
        <v>Salary &gt;85K</v>
      </c>
    </row>
    <row r="14" spans="1:18 16384:16384" x14ac:dyDescent="0.35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Salary&gt;85K</v>
      </c>
      <c r="R14" t="str" cm="1">
        <f t="array" ref="R14">_xlfn.IFS($H14="","No Data", $H14&gt;=$Q$1,"Salary &gt;85K", TRUE, "Low Salary")</f>
        <v>Salary &gt;85K</v>
      </c>
    </row>
    <row r="15" spans="1:18 16384:16384" x14ac:dyDescent="0.35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Low salary</v>
      </c>
      <c r="R15" t="str" cm="1">
        <f t="array" ref="R15">_xlfn.IFS($H15="","No Data", $H15&gt;=$Q$1,"Salary &gt;85K", TRUE, "Low Salary")</f>
        <v>Low Salary</v>
      </c>
    </row>
    <row r="16" spans="1:18 16384:16384" x14ac:dyDescent="0.35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Salary&gt;85K</v>
      </c>
      <c r="R16" t="str" cm="1">
        <f t="array" ref="R16">_xlfn.IFS($H16="","No Data", $H16&gt;=$Q$1,"Salary &gt;85K", TRUE, "Low Salary")</f>
        <v>Salary &gt;85K</v>
      </c>
    </row>
    <row r="17" spans="1:18" x14ac:dyDescent="0.35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Salary&gt;85K</v>
      </c>
      <c r="R17" t="str" cm="1">
        <f t="array" ref="R17">_xlfn.IFS($H17="","No Data", $H17&gt;=$Q$1,"Salary &gt;85K", TRUE, "Low Salary")</f>
        <v>Salary &gt;85K</v>
      </c>
    </row>
    <row r="18" spans="1:18" x14ac:dyDescent="0.35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Low salary</v>
      </c>
      <c r="R18" t="str" cm="1">
        <f t="array" ref="R18">_xlfn.IFS($H18="","No Data", $H18&gt;=$Q$1,"Salary &gt;85K", TRUE, "Low Salary")</f>
        <v>No Data</v>
      </c>
    </row>
    <row r="19" spans="1:18" x14ac:dyDescent="0.35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Salary&gt;85K</v>
      </c>
      <c r="R19" t="str" cm="1">
        <f t="array" ref="R19">_xlfn.IFS($H19="","No Data", $H19&gt;=$Q$1,"Salary &gt;85K", TRUE, "Low Salary")</f>
        <v>Salary &gt;85K</v>
      </c>
    </row>
    <row r="20" spans="1:18" x14ac:dyDescent="0.35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Low salary</v>
      </c>
      <c r="R20" t="str" cm="1">
        <f t="array" ref="R20">_xlfn.IFS($H20="","No Data", $H20&gt;=$Q$1,"Salary &gt;85K", TRUE, "Low Salary")</f>
        <v>No Data</v>
      </c>
    </row>
    <row r="21" spans="1:18" x14ac:dyDescent="0.35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Salary&gt;85K</v>
      </c>
      <c r="R21" t="str" cm="1">
        <f t="array" ref="R21">_xlfn.IFS($H21="","No Data", $H21&gt;=$Q$1,"Salary &gt;85K", TRUE, "Low Salary")</f>
        <v>Salary &gt;85K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4" sqref="B4"/>
    </sheetView>
  </sheetViews>
  <sheetFormatPr defaultRowHeight="14.5" x14ac:dyDescent="0.35"/>
  <cols>
    <col min="1" max="1" width="6.54296875" customWidth="1"/>
    <col min="2" max="2" width="13.453125" customWidth="1"/>
    <col min="3" max="3" width="31.453125" bestFit="1" customWidth="1"/>
    <col min="4" max="4" width="60.453125" bestFit="1" customWidth="1"/>
    <col min="5" max="5" width="19.7265625" bestFit="1" customWidth="1"/>
    <col min="6" max="6" width="17.54296875" bestFit="1" customWidth="1"/>
  </cols>
  <sheetData>
    <row r="2" spans="2:6" x14ac:dyDescent="0.35">
      <c r="B2" s="26" t="s">
        <v>28</v>
      </c>
      <c r="C2" s="26" t="s">
        <v>36</v>
      </c>
      <c r="D2" s="26" t="s">
        <v>29</v>
      </c>
      <c r="E2" s="43" t="s">
        <v>139</v>
      </c>
      <c r="F2" s="43" t="s">
        <v>140</v>
      </c>
    </row>
    <row r="3" spans="2:6" x14ac:dyDescent="0.3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D3" sqref="D3"/>
    </sheetView>
  </sheetViews>
  <sheetFormatPr defaultRowHeight="14.5" x14ac:dyDescent="0.35"/>
  <cols>
    <col min="2" max="2" width="9.81640625" bestFit="1" customWidth="1"/>
    <col min="3" max="3" width="10.54296875" customWidth="1"/>
  </cols>
  <sheetData>
    <row r="1" spans="2:5" ht="15" thickBot="1" x14ac:dyDescent="0.4"/>
    <row r="2" spans="2:5" x14ac:dyDescent="0.35">
      <c r="B2" s="36" t="s">
        <v>137</v>
      </c>
      <c r="C2" s="37" t="s">
        <v>138</v>
      </c>
      <c r="D2" s="44" t="s">
        <v>141</v>
      </c>
      <c r="E2" s="44" t="s">
        <v>142</v>
      </c>
    </row>
    <row r="3" spans="2:5" x14ac:dyDescent="0.3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4">
      <c r="B6" s="40" t="b">
        <v>0</v>
      </c>
      <c r="C6" s="41" t="b">
        <v>0</v>
      </c>
      <c r="D6" s="42" t="b">
        <f t="shared" si="0"/>
        <v>0</v>
      </c>
      <c r="E6" s="42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Niaz Erdoolatov</cp:lastModifiedBy>
  <dcterms:created xsi:type="dcterms:W3CDTF">2024-07-16T20:11:02Z</dcterms:created>
  <dcterms:modified xsi:type="dcterms:W3CDTF">2025-11-14T10:53:15Z</dcterms:modified>
</cp:coreProperties>
</file>