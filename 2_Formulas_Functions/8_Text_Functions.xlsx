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niaza\Desktop\DA\Excel_Data_Analytics_Course-main\2_Formulas_Functions\"/>
    </mc:Choice>
  </mc:AlternateContent>
  <xr:revisionPtr revIDLastSave="0" documentId="13_ncr:1_{9DCF2033-5AF3-4913-9359-D3D5E290BF26}" xr6:coauthVersionLast="47" xr6:coauthVersionMax="47" xr10:uidLastSave="{00000000-0000-0000-0000-000000000000}"/>
  <bookViews>
    <workbookView xWindow="-110" yWindow="-110" windowWidth="19420" windowHeight="1030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9" i="12"/>
  <c r="A9" i="12" a="1"/>
  <c r="A9" i="12" s="1"/>
  <c r="A3" i="12"/>
  <c r="A6" i="12" s="1" a="1"/>
  <c r="A6" i="12" s="1"/>
  <c r="T3" i="8"/>
  <c r="U3" i="8" s="1"/>
  <c r="T4" i="8"/>
  <c r="U4" i="8" s="1"/>
  <c r="T5" i="8"/>
  <c r="U5" i="8"/>
  <c r="V5" i="8" s="1"/>
  <c r="T6" i="8"/>
  <c r="U6" i="8"/>
  <c r="V6" i="8"/>
  <c r="T7" i="8"/>
  <c r="U7" i="8" s="1"/>
  <c r="T8" i="8"/>
  <c r="U8" i="8" s="1"/>
  <c r="T9" i="8"/>
  <c r="U9" i="8"/>
  <c r="V9" i="8" s="1"/>
  <c r="T10" i="8"/>
  <c r="U10" i="8"/>
  <c r="V10" i="8"/>
  <c r="T11" i="8"/>
  <c r="U11" i="8" s="1"/>
  <c r="T12" i="8"/>
  <c r="U12" i="8" s="1"/>
  <c r="T13" i="8"/>
  <c r="U13" i="8"/>
  <c r="V13" i="8" s="1"/>
  <c r="T14" i="8"/>
  <c r="U14" i="8"/>
  <c r="V14" i="8"/>
  <c r="T15" i="8"/>
  <c r="U15" i="8" s="1"/>
  <c r="T16" i="8"/>
  <c r="U16" i="8" s="1"/>
  <c r="T17" i="8"/>
  <c r="U17" i="8"/>
  <c r="V17" i="8" s="1"/>
  <c r="T18" i="8"/>
  <c r="U18" i="8"/>
  <c r="V18" i="8"/>
  <c r="T19" i="8"/>
  <c r="U19" i="8" s="1"/>
  <c r="T20" i="8"/>
  <c r="U20" i="8" s="1"/>
  <c r="T21" i="8"/>
  <c r="U21" i="8"/>
  <c r="V21" i="8" s="1"/>
  <c r="V2" i="8"/>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19" i="8" l="1"/>
  <c r="V15" i="8"/>
  <c r="V11" i="8"/>
  <c r="V7" i="8"/>
  <c r="V3" i="8"/>
  <c r="V20" i="8"/>
  <c r="V16" i="8"/>
  <c r="V12" i="8"/>
  <c r="V8" i="8"/>
  <c r="V4" i="8"/>
  <c r="U2" i="8"/>
  <c r="R9" i="8"/>
  <c r="S9" i="8" s="1"/>
  <c r="R10" i="8"/>
  <c r="S10" i="8"/>
  <c r="R11" i="8"/>
  <c r="S11" i="8"/>
  <c r="R12" i="8"/>
  <c r="S12" i="8"/>
  <c r="R13" i="8"/>
  <c r="S13" i="8"/>
  <c r="R14" i="8"/>
  <c r="S14" i="8"/>
  <c r="R15" i="8"/>
  <c r="S15" i="8"/>
  <c r="R2" i="8"/>
  <c r="S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<sst xmlns="http://schemas.openxmlformats.org/spreadsheetml/2006/main" count="610" uniqueCount="96">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</sst>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Skill</a:t>
            </a:r>
            <a:r>
              <a:rPr lang="en-GB" baseline="0"/>
              <a:t> Count of Applicants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C625-432F-A29A-AC7554EB882E}"/>
            </c:ext>
          </c:extLst>
        </c:ser>
        <c:dLbls>
          <c:showLegendKey val="0"/>
          <c:showVal val="0"/>
          <c:showCatName val="0"/>
          <c:showSerName val="0"/>
          <c:showPercent val="0"/>
          <c:showBubbleSize val="0"/>
        </c:dLbls>
        <c:gapWidth val="182"/>
        <c:axId val="1693810367"/>
        <c:axId val="1693806047"/>
      </c:barChart>
      <c:catAx>
        <c:axId val="169381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806047"/>
        <c:crosses val="autoZero"/>
        <c:auto val="1"/>
        <c:lblAlgn val="ctr"/>
        <c:lblOffset val="100"/>
        <c:noMultiLvlLbl val="0"/>
      </c:catAx>
      <c:valAx>
        <c:axId val="1693806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810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8</xdr:row>
      <xdr:rowOff>5291</xdr:rowOff>
    </xdr:from>
    <xdr:to>
      <xdr:col>12</xdr:col>
      <xdr:colOff>198438</xdr:colOff>
      <xdr:row>26</xdr:row>
      <xdr:rowOff>8995</xdr:rowOff>
    </xdr:to>
    <xdr:graphicFrame macro="">
      <xdr:nvGraphicFramePr>
        <xdr:cNvPr id="2" name="Chart 1">
          <a:extLst>
            <a:ext uri="{FF2B5EF4-FFF2-40B4-BE49-F238E27FC236}">
              <a16:creationId xmlns:a16="http://schemas.microsoft.com/office/drawing/2014/main" id="{4DF5792D-A277-7008-FE2A-3342BCC7E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heetViews>
  <sheetFormatPr defaultRowHeight="14.5" x14ac:dyDescent="0.35"/>
  <cols>
    <col min="1" max="1" width="17.6328125" customWidth="1"/>
    <col min="2" max="2" width="14.26953125" hidden="1" customWidth="1"/>
    <col min="3" max="3" width="27.26953125" hidden="1" customWidth="1"/>
    <col min="4" max="4" width="17.6328125" style="9" hidden="1" customWidth="1"/>
    <col min="5" max="5" width="26.26953125" hidden="1" customWidth="1"/>
    <col min="6" max="6" width="11" hidden="1" customWidth="1"/>
    <col min="7" max="7" width="22" customWidth="1"/>
    <col min="8" max="8" width="40" customWidth="1"/>
    <col min="9" max="9" width="8.81640625" customWidth="1"/>
    <col min="10" max="10" width="34.7265625" hidden="1" customWidth="1"/>
    <col min="11" max="11" width="8.81640625" customWidth="1"/>
    <col min="12" max="12" width="13.36328125" hidden="1" customWidth="1"/>
    <col min="13" max="13" width="15.453125" hidden="1" customWidth="1"/>
    <col min="14" max="14" width="8.81640625" hidden="1" customWidth="1"/>
    <col min="15" max="15" width="16.36328125" hidden="1" customWidth="1"/>
    <col min="17" max="19" width="0" hidden="1" customWidth="1"/>
  </cols>
  <sheetData>
    <row r="1" spans="1:22" x14ac:dyDescent="0.35">
      <c r="A1" s="2" t="s">
        <v>95</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5">
      <c r="A2" s="5" t="s">
        <v>72</v>
      </c>
      <c r="B2" s="1" t="s">
        <v>42</v>
      </c>
      <c r="C2" s="1" t="s">
        <v>1</v>
      </c>
      <c r="D2" s="11">
        <v>44971.640451388892</v>
      </c>
      <c r="E2" s="1" t="s">
        <v>43</v>
      </c>
      <c r="F2" s="1" t="s">
        <v>23</v>
      </c>
      <c r="G2" s="1" t="s">
        <v>24</v>
      </c>
      <c r="H2" s="6" t="s">
        <v>11</v>
      </c>
      <c r="J2" t="str">
        <f>_xlfn.TEXTJOIN(" ", TRUE, F2:G2)</f>
        <v>457 Oak St San Jose, CA, 95101</v>
      </c>
      <c r="L2" t="str" cm="1">
        <f t="array" ref="L2:M2">_xlfn.TEXTSPLIT(B2, " ")</f>
        <v>Pam</v>
      </c>
      <c r="M2" t="str">
        <v>Beesly</v>
      </c>
      <c r="O2" t="str">
        <f>RIGHT(A2, 7)</f>
        <v>0123548</v>
      </c>
      <c r="Q2">
        <f>FIND(",", G2)+LEN(", ")</f>
        <v>11</v>
      </c>
      <c r="R2">
        <f>FIND(",",G2,Q2)</f>
        <v>13</v>
      </c>
      <c r="S2" t="str">
        <f>MID(G2,Q2,R2-Q2)</f>
        <v>CA</v>
      </c>
      <c r="T2">
        <f>FIND(",",G2)+LEN(", ")</f>
        <v>11</v>
      </c>
      <c r="U2">
        <f>FIND(",",G2,T2)</f>
        <v>13</v>
      </c>
      <c r="V2" t="str">
        <f>MID(G2,T2,U2-T2)</f>
        <v>CA</v>
      </c>
    </row>
    <row r="3" spans="1:22" x14ac:dyDescent="0.35">
      <c r="A3" s="5" t="s">
        <v>71</v>
      </c>
      <c r="B3" s="1" t="s">
        <v>38</v>
      </c>
      <c r="C3" s="1" t="s">
        <v>5</v>
      </c>
      <c r="D3" s="11">
        <v>45055.40662037037</v>
      </c>
      <c r="E3" s="1" t="s">
        <v>39</v>
      </c>
      <c r="F3" s="1" t="s">
        <v>25</v>
      </c>
      <c r="G3" s="1" t="s">
        <v>26</v>
      </c>
      <c r="H3" s="6" t="s">
        <v>14</v>
      </c>
      <c r="J3" t="str">
        <f t="shared" ref="J3:J21" si="0">_xlfn.TEXTJOIN(" ", TRUE, F3:G3)</f>
        <v>203 Birch St Chicago, IL, 60601</v>
      </c>
      <c r="L3" t="str" cm="1">
        <f t="array" ref="L3:M3">_xlfn.TEXTSPLIT(B3, " ")</f>
        <v>Michael</v>
      </c>
      <c r="M3" t="str">
        <v>Scott</v>
      </c>
      <c r="O3" t="str">
        <f t="shared" ref="O3:O21" si="1">RIGHT(A3, 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35">
      <c r="A4" s="5" t="s">
        <v>73</v>
      </c>
      <c r="B4" s="1" t="s">
        <v>58</v>
      </c>
      <c r="C4" s="1" t="s">
        <v>12</v>
      </c>
      <c r="D4" s="11">
        <v>45128.729710648149</v>
      </c>
      <c r="E4" s="1" t="s">
        <v>59</v>
      </c>
      <c r="F4" s="1" t="s">
        <v>27</v>
      </c>
      <c r="G4" s="1" t="s">
        <v>26</v>
      </c>
      <c r="H4" s="6" t="s">
        <v>6</v>
      </c>
      <c r="J4" t="str">
        <f t="shared" si="0"/>
        <v>790 Pine St Chicago, IL, 60601</v>
      </c>
      <c r="L4" t="str" cm="1">
        <f t="array" ref="L4:M4">_xlfn.TEXTSPLIT(B4, " ")</f>
        <v>Kevin</v>
      </c>
      <c r="M4" t="str">
        <v>Malone</v>
      </c>
      <c r="O4" t="str">
        <f t="shared" si="1"/>
        <v>0123550</v>
      </c>
      <c r="Q4">
        <f t="shared" si="2"/>
        <v>10</v>
      </c>
      <c r="R4">
        <f t="shared" si="3"/>
        <v>12</v>
      </c>
      <c r="S4" t="str">
        <f t="shared" si="4"/>
        <v>IL</v>
      </c>
      <c r="T4">
        <f t="shared" si="5"/>
        <v>10</v>
      </c>
      <c r="U4">
        <f t="shared" si="6"/>
        <v>12</v>
      </c>
      <c r="V4" t="str">
        <f t="shared" si="7"/>
        <v>IL</v>
      </c>
    </row>
    <row r="5" spans="1:22" x14ac:dyDescent="0.35">
      <c r="A5" s="5" t="s">
        <v>74</v>
      </c>
      <c r="B5" s="1" t="s">
        <v>42</v>
      </c>
      <c r="C5" s="1" t="s">
        <v>5</v>
      </c>
      <c r="D5" s="11">
        <v>45173.302187499998</v>
      </c>
      <c r="E5" s="1" t="s">
        <v>43</v>
      </c>
      <c r="F5" s="1" t="s">
        <v>23</v>
      </c>
      <c r="G5" s="1" t="s">
        <v>24</v>
      </c>
      <c r="H5" s="6" t="s">
        <v>11</v>
      </c>
      <c r="J5" t="str">
        <f t="shared" si="0"/>
        <v>457 Oak St San Jose, CA, 95101</v>
      </c>
      <c r="L5" t="str" cm="1">
        <f t="array" ref="L5:M5">_xlfn.TEXTSPLIT(B5, " ")</f>
        <v>Pam</v>
      </c>
      <c r="M5" t="str">
        <v>Beesly</v>
      </c>
      <c r="O5" t="str">
        <f t="shared" si="1"/>
        <v>0123551</v>
      </c>
      <c r="Q5">
        <f t="shared" si="2"/>
        <v>11</v>
      </c>
      <c r="R5">
        <f t="shared" si="3"/>
        <v>13</v>
      </c>
      <c r="S5" t="str">
        <f t="shared" si="4"/>
        <v>CA</v>
      </c>
      <c r="T5">
        <f t="shared" si="5"/>
        <v>11</v>
      </c>
      <c r="U5">
        <f t="shared" si="6"/>
        <v>13</v>
      </c>
      <c r="V5" t="str">
        <f t="shared" si="7"/>
        <v>CA</v>
      </c>
    </row>
    <row r="6" spans="1:22" x14ac:dyDescent="0.35">
      <c r="A6" s="5" t="s">
        <v>75</v>
      </c>
      <c r="B6" s="1" t="s">
        <v>40</v>
      </c>
      <c r="C6" s="1" t="s">
        <v>7</v>
      </c>
      <c r="D6" s="11">
        <v>45248.70857638889</v>
      </c>
      <c r="E6" s="1" t="s">
        <v>41</v>
      </c>
      <c r="F6" s="1" t="s">
        <v>29</v>
      </c>
      <c r="G6" s="1" t="s">
        <v>30</v>
      </c>
      <c r="H6" s="6" t="s">
        <v>10</v>
      </c>
      <c r="J6" t="str">
        <f t="shared" si="0"/>
        <v>459 Oak St Philadelphia, PA, 19101</v>
      </c>
      <c r="L6" t="str" cm="1">
        <f t="array" ref="L6:M6">_xlfn.TEXTSPLIT(B6, " ")</f>
        <v>Jim</v>
      </c>
      <c r="M6" t="str">
        <v>Halpert</v>
      </c>
      <c r="O6" t="str">
        <f t="shared" si="1"/>
        <v>0123552</v>
      </c>
      <c r="Q6">
        <f t="shared" si="2"/>
        <v>15</v>
      </c>
      <c r="R6">
        <f t="shared" si="3"/>
        <v>17</v>
      </c>
      <c r="S6" t="str">
        <f t="shared" si="4"/>
        <v>PA</v>
      </c>
      <c r="T6">
        <f t="shared" si="5"/>
        <v>15</v>
      </c>
      <c r="U6">
        <f t="shared" si="6"/>
        <v>17</v>
      </c>
      <c r="V6" t="str">
        <f t="shared" si="7"/>
        <v>PA</v>
      </c>
    </row>
    <row r="7" spans="1:22" x14ac:dyDescent="0.35">
      <c r="A7" s="5" t="s">
        <v>76</v>
      </c>
      <c r="B7" s="1" t="s">
        <v>46</v>
      </c>
      <c r="C7" s="1" t="s">
        <v>9</v>
      </c>
      <c r="D7" s="11">
        <v>45302.531921296293</v>
      </c>
      <c r="E7" s="1" t="s">
        <v>47</v>
      </c>
      <c r="F7" s="1" t="s">
        <v>31</v>
      </c>
      <c r="G7" s="1" t="s">
        <v>30</v>
      </c>
      <c r="H7" s="6" t="s">
        <v>15</v>
      </c>
      <c r="J7" t="str">
        <f t="shared" si="0"/>
        <v>204 Birch St Philadelphia, PA, 19101</v>
      </c>
      <c r="L7" t="str" cm="1">
        <f t="array" ref="L7:M7">_xlfn.TEXTSPLIT(B7, " ")</f>
        <v>Ryan</v>
      </c>
      <c r="M7" t="str">
        <v>Howard</v>
      </c>
      <c r="O7" t="str">
        <f t="shared" si="1"/>
        <v>0123553</v>
      </c>
      <c r="Q7">
        <f t="shared" si="2"/>
        <v>15</v>
      </c>
      <c r="R7">
        <f t="shared" si="3"/>
        <v>17</v>
      </c>
      <c r="S7" t="str">
        <f t="shared" si="4"/>
        <v>PA</v>
      </c>
      <c r="T7">
        <f t="shared" si="5"/>
        <v>15</v>
      </c>
      <c r="U7">
        <f t="shared" si="6"/>
        <v>17</v>
      </c>
      <c r="V7" t="str">
        <f t="shared" si="7"/>
        <v>PA</v>
      </c>
    </row>
    <row r="8" spans="1:22" x14ac:dyDescent="0.35">
      <c r="A8" s="5" t="s">
        <v>77</v>
      </c>
      <c r="B8" s="1" t="s">
        <v>58</v>
      </c>
      <c r="C8" s="1" t="s">
        <v>5</v>
      </c>
      <c r="D8" s="11">
        <v>45354.687881944446</v>
      </c>
      <c r="E8" s="1" t="s">
        <v>59</v>
      </c>
      <c r="F8" s="1" t="s">
        <v>27</v>
      </c>
      <c r="G8" s="1" t="s">
        <v>26</v>
      </c>
      <c r="H8" s="6" t="s">
        <v>6</v>
      </c>
      <c r="J8" t="str">
        <f t="shared" si="0"/>
        <v>790 Pine St Chicago, IL, 60601</v>
      </c>
      <c r="L8" t="str" cm="1">
        <f t="array" ref="L8:M8">_xlfn.TEXTSPLIT(B8, " ")</f>
        <v>Kevin</v>
      </c>
      <c r="M8" t="str">
        <v>Malone</v>
      </c>
      <c r="O8" t="str">
        <f t="shared" si="1"/>
        <v>0123554</v>
      </c>
      <c r="Q8">
        <f t="shared" si="2"/>
        <v>10</v>
      </c>
      <c r="R8">
        <f t="shared" si="3"/>
        <v>12</v>
      </c>
      <c r="S8" t="str">
        <f t="shared" si="4"/>
        <v>IL</v>
      </c>
      <c r="T8">
        <f t="shared" si="5"/>
        <v>10</v>
      </c>
      <c r="U8">
        <f t="shared" si="6"/>
        <v>12</v>
      </c>
      <c r="V8" t="str">
        <f t="shared" si="7"/>
        <v>IL</v>
      </c>
    </row>
    <row r="9" spans="1:22" x14ac:dyDescent="0.35">
      <c r="A9" s="5" t="s">
        <v>78</v>
      </c>
      <c r="B9" s="1" t="s">
        <v>46</v>
      </c>
      <c r="C9" s="1" t="s">
        <v>1</v>
      </c>
      <c r="D9" s="11">
        <v>45408.340810185182</v>
      </c>
      <c r="E9" s="1" t="s">
        <v>47</v>
      </c>
      <c r="F9" s="1" t="s">
        <v>31</v>
      </c>
      <c r="G9" s="1" t="s">
        <v>30</v>
      </c>
      <c r="H9" s="6" t="s">
        <v>15</v>
      </c>
      <c r="J9" t="str">
        <f t="shared" si="0"/>
        <v>204 Birch St Philadelphia, PA, 19101</v>
      </c>
      <c r="L9" t="str" cm="1">
        <f t="array" ref="L9:M9">_xlfn.TEXTSPLIT(B9, " ")</f>
        <v>Ryan</v>
      </c>
      <c r="M9" t="str">
        <v>Howard</v>
      </c>
      <c r="O9" t="str">
        <f t="shared" si="1"/>
        <v>0123555</v>
      </c>
      <c r="Q9">
        <f t="shared" si="2"/>
        <v>15</v>
      </c>
      <c r="R9">
        <f t="shared" si="3"/>
        <v>17</v>
      </c>
      <c r="S9" t="str">
        <f t="shared" si="4"/>
        <v>PA</v>
      </c>
      <c r="T9">
        <f t="shared" si="5"/>
        <v>15</v>
      </c>
      <c r="U9">
        <f t="shared" si="6"/>
        <v>17</v>
      </c>
      <c r="V9" t="str">
        <f t="shared" si="7"/>
        <v>PA</v>
      </c>
    </row>
    <row r="10" spans="1:22" x14ac:dyDescent="0.3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3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3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3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3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3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3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3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3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3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3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 ")</f>
        <v>Jim</v>
      </c>
      <c r="M20" t="str">
        <v>Halpert</v>
      </c>
      <c r="O20" t="str">
        <f t="shared" si="1"/>
        <v>0123566</v>
      </c>
      <c r="Q20">
        <f t="shared" si="2"/>
        <v>15</v>
      </c>
      <c r="R20">
        <f t="shared" si="3"/>
        <v>17</v>
      </c>
      <c r="S20" t="str">
        <f t="shared" si="4"/>
        <v>PA</v>
      </c>
      <c r="T20">
        <f t="shared" si="5"/>
        <v>15</v>
      </c>
      <c r="U20">
        <f t="shared" si="6"/>
        <v>17</v>
      </c>
      <c r="V20" t="str">
        <f t="shared" si="7"/>
        <v>PA</v>
      </c>
    </row>
    <row r="21" spans="1:22" ht="15" thickBot="1" x14ac:dyDescent="0.4">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A10" zoomScale="120" zoomScaleNormal="120" workbookViewId="0">
      <selection activeCell="C13" sqref="C13"/>
    </sheetView>
  </sheetViews>
  <sheetFormatPr defaultRowHeight="14.5" x14ac:dyDescent="0.35"/>
  <cols>
    <col min="1" max="1" width="24.36328125" customWidth="1"/>
  </cols>
  <sheetData>
    <row r="2" spans="1:75" x14ac:dyDescent="0.35">
      <c r="A2" s="15" t="s">
        <v>94</v>
      </c>
      <c r="B2" s="16"/>
    </row>
    <row r="3" spans="1:75" x14ac:dyDescent="0.3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5">
      <c r="A5" s="15" t="s">
        <v>67</v>
      </c>
      <c r="B5" s="16"/>
    </row>
    <row r="6" spans="1:75" x14ac:dyDescent="0.3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5">
      <c r="A8" s="15" t="s">
        <v>68</v>
      </c>
      <c r="B8" s="15" t="s">
        <v>93</v>
      </c>
      <c r="C8" s="16"/>
      <c r="D8" s="16"/>
      <c r="E8" s="16"/>
      <c r="F8" s="16"/>
    </row>
    <row r="9" spans="1:75" x14ac:dyDescent="0.35">
      <c r="A9" s="1" t="str" cm="1">
        <f t="array" ref="A9:A25">_xlfn.UNIQUE(TRANSPOSE(6:6))</f>
        <v>Kafka</v>
      </c>
      <c r="B9" s="1">
        <f>COUNTIF($6:$6,A9)</f>
        <v>3</v>
      </c>
    </row>
    <row r="10" spans="1:75" x14ac:dyDescent="0.35">
      <c r="A10" s="1" t="str">
        <v>DataBricks</v>
      </c>
      <c r="B10" s="1">
        <f>COUNTIF($6:$6,A10)</f>
        <v>12</v>
      </c>
      <c r="C10" t="s">
        <v>95</v>
      </c>
    </row>
    <row r="11" spans="1:75" x14ac:dyDescent="0.35">
      <c r="A11" s="1" t="str">
        <v>Spark</v>
      </c>
      <c r="B11" s="1">
        <f>COUNTIF($6:$6,A11)</f>
        <v>2</v>
      </c>
    </row>
    <row r="12" spans="1:75" x14ac:dyDescent="0.35">
      <c r="A12" s="1" t="str">
        <v>Python</v>
      </c>
      <c r="B12" s="1">
        <f>COUNTIF($6:$6,A12)</f>
        <v>2</v>
      </c>
    </row>
    <row r="13" spans="1:75" x14ac:dyDescent="0.35">
      <c r="A13" s="1" t="str">
        <v>GCP</v>
      </c>
      <c r="B13" s="1">
        <f>COUNTIF($6:$6,A13)</f>
        <v>4</v>
      </c>
    </row>
    <row r="14" spans="1:75" x14ac:dyDescent="0.35">
      <c r="A14" s="1" t="str">
        <v>Power BI</v>
      </c>
      <c r="B14" s="1">
        <f>COUNTIF($6:$6,A14)</f>
        <v>5</v>
      </c>
    </row>
    <row r="15" spans="1:75" x14ac:dyDescent="0.35">
      <c r="A15" s="1" t="str">
        <v>Airflow</v>
      </c>
      <c r="B15" s="1">
        <f>COUNTIF($6:$6,A15)</f>
        <v>6</v>
      </c>
    </row>
    <row r="16" spans="1:75" x14ac:dyDescent="0.35">
      <c r="A16" s="1" t="str">
        <v>Hadoop</v>
      </c>
      <c r="B16" s="1">
        <f>COUNTIF($6:$6,A16)</f>
        <v>7</v>
      </c>
    </row>
    <row r="17" spans="1:2" x14ac:dyDescent="0.35">
      <c r="A17" s="1" t="str">
        <v>R</v>
      </c>
      <c r="B17" s="1">
        <f>COUNTIF($6:$6,A17)</f>
        <v>6</v>
      </c>
    </row>
    <row r="18" spans="1:2" x14ac:dyDescent="0.35">
      <c r="A18" s="1" t="str">
        <v>Azure</v>
      </c>
      <c r="B18" s="1">
        <f>COUNTIF($6:$6,A18)</f>
        <v>4</v>
      </c>
    </row>
    <row r="19" spans="1:2" x14ac:dyDescent="0.35">
      <c r="A19" s="1" t="str">
        <v>Java</v>
      </c>
      <c r="B19" s="1">
        <f>COUNTIF($6:$6,A19)</f>
        <v>7</v>
      </c>
    </row>
    <row r="20" spans="1:2" x14ac:dyDescent="0.35">
      <c r="A20" s="1" t="str">
        <v>SQL</v>
      </c>
      <c r="B20" s="1">
        <f>COUNTIF($6:$6,A20)</f>
        <v>4</v>
      </c>
    </row>
    <row r="21" spans="1:2" x14ac:dyDescent="0.35">
      <c r="A21" s="1" t="str">
        <v>Snowflake</v>
      </c>
      <c r="B21" s="1">
        <f>COUNTIF($6:$6,A21)</f>
        <v>5</v>
      </c>
    </row>
    <row r="22" spans="1:2" x14ac:dyDescent="0.35">
      <c r="A22" s="1" t="str">
        <v>Scala</v>
      </c>
      <c r="B22" s="1">
        <f>COUNTIF($6:$6,A22)</f>
        <v>5</v>
      </c>
    </row>
    <row r="23" spans="1:2" x14ac:dyDescent="0.35">
      <c r="A23" s="1" t="str">
        <v>Excel</v>
      </c>
      <c r="B23" s="1">
        <f>COUNTIF($6:$6,A23)</f>
        <v>2</v>
      </c>
    </row>
    <row r="24" spans="1:2" x14ac:dyDescent="0.35">
      <c r="A24" s="1" t="str">
        <v>Tableau</v>
      </c>
      <c r="B24" s="1">
        <f>COUNTIF($6:$6,A24)</f>
        <v>1</v>
      </c>
    </row>
    <row r="25" spans="1:2" x14ac:dyDescent="0.35">
      <c r="A25" s="1">
        <v>0</v>
      </c>
      <c r="B25"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Niaz Erdoolatov</cp:lastModifiedBy>
  <dcterms:created xsi:type="dcterms:W3CDTF">2015-06-05T18:17:20Z</dcterms:created>
  <dcterms:modified xsi:type="dcterms:W3CDTF">2025-11-25T20:57:10Z</dcterms:modified>
</cp:coreProperties>
</file>